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tmp/"/>
    </mc:Choice>
  </mc:AlternateContent>
  <xr:revisionPtr revIDLastSave="0" documentId="8_{B524C40C-7364-DE4A-A4D6-F264AFBA7CA2}" xr6:coauthVersionLast="47" xr6:coauthVersionMax="47" xr10:uidLastSave="{00000000-0000-0000-0000-000000000000}"/>
  <bookViews>
    <workbookView xWindow="20240" yWindow="5400" windowWidth="28300" windowHeight="17360" xr2:uid="{F498AD74-659A-9C42-8C5F-9AF1188432B3}"/>
  </bookViews>
  <sheets>
    <sheet name="Corpu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1" i="1" l="1" a="1"/>
  <c r="J1" i="1" s="1"/>
  <c r="I1" i="1" a="1"/>
  <c r="I1" i="1" s="1"/>
  <c r="H1" i="1" a="1"/>
  <c r="H1" i="1" s="1"/>
  <c r="G1" i="1" a="1"/>
  <c r="G1" i="1" s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 a="1"/>
  <c r="E4" i="1" s="1"/>
  <c r="E3" i="1"/>
  <c r="E2" i="1"/>
  <c r="E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<sst xmlns="http://schemas.openxmlformats.org/spreadsheetml/2006/main" count="5" uniqueCount="5">
  <si>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apples</t>
  </si>
  <si>
    <t>バナナ</t>
  </si>
  <si>
    <t>Cherry</t>
  </si>
  <si>
    <t>ﾃﾞｰﾀ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</si>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</sst>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¥&quot;#,##0.00;[Red]&quot;¥&quot;\-#,##0.00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8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FC8D-F65A-BA4B-946B-A7A54149A045}">
  <dimension ref="A1:L28"/>
  <sheetViews>
    <sheetView tabSelected="1" workbookViewId="0"/>
  </sheetViews>
  <sheetFormatPr baseColWidth="10" defaultRowHeight="20"/>
  <sheetData>
    <row r="1" spans="1:12">
      <c r="A1">
        <v>5</v>
      </c>
      <c r="B1" t="s">
        <v>0</v>
      </c>
      <c r="E1">
        <f>LEN("あいう")</f>
        <v>3</v>
      </c>
      <c r="G1" cm="1">
        <f t="array" ref="G1:G5">_xlfn._xlws.SORT(A1:A5)</f>
        <v>1</v>
      </c>
      <c r="H1" cm="1">
        <f t="array" ref="H1:H3">_xlfn.UNIQUE({1;2;2;3;1})</f>
        <v>1</v>
      </c>
      <c r="I1" cm="1">
        <f t="array" ref="I1:I3">_xlfn._xlws.FILTER(A1:A5,A1:A5&gt;4)</f>
        <v>5</v>
      </c>
      <c r="J1" cm="1">
        <f t="array" ref="J1:L1">TRANSPOSE(A1:A3)</f>
        <v>5</v>
      </c>
      <c r="K1">
        <v>3</v>
      </c>
      <c r="L1">
        <v>8</v>
      </c>
    </row>
    <row r="2" spans="1:12">
      <c r="A2">
        <v>3</v>
      </c>
      <c r="B2" t="s">
        <v>1</v>
      </c>
      <c r="E2">
        <f>LENB("あいう")</f>
        <v>6</v>
      </c>
      <c r="G2">
        <v>3</v>
      </c>
      <c r="H2">
        <v>2</v>
      </c>
      <c r="I2">
        <v>8</v>
      </c>
    </row>
    <row r="3" spans="1:12">
      <c r="A3">
        <v>8</v>
      </c>
      <c r="B3" t="s">
        <v>2</v>
      </c>
      <c r="E3" t="str">
        <f>ASC("アイウ１２３")</f>
        <v>ｱｲｳ123</v>
      </c>
      <c r="G3">
        <v>5</v>
      </c>
      <c r="H3">
        <v>3</v>
      </c>
      <c r="I3">
        <v>9</v>
      </c>
    </row>
    <row r="4" spans="1:12">
      <c r="A4">
        <v>1</v>
      </c>
      <c r="B4" t="s">
        <v>3</v>
      </c>
      <c r="E4" t="e" cm="1">
        <f t="array" aca="1" ref="E4" ca="1">JIS("ｱｲｳ123")</f>
        <v>#NAME?</v>
      </c>
      <c r="G4">
        <v>8</v>
      </c>
    </row>
    <row r="5" spans="1:12">
      <c r="A5">
        <v>9</v>
      </c>
      <c r="B5" t="s">
        <v>4</v>
      </c>
      <c r="E5" t="str">
        <f>MID("東京都千代田区",4,3)</f>
        <v>千代田</v>
      </c>
      <c r="G5">
        <v>9</v>
      </c>
    </row>
    <row r="6" spans="1:12">
      <c r="E6" t="str">
        <f>TEXT(44927,"yyyy/mm/dd")</f>
        <v>2023/01/01</v>
      </c>
    </row>
    <row r="7" spans="1:12">
      <c r="E7" t="str">
        <f>TEXT(1234.5,"#,##0.00")</f>
        <v>1,234.50</v>
      </c>
    </row>
    <row r="8" spans="1:12">
      <c r="E8" t="str">
        <f>_xlfn.TEXTJOIN("-",TRUE,B1:B3)</f>
        <v>apples-バナナ-Cherry</v>
      </c>
    </row>
    <row r="9" spans="1:12">
      <c r="E9" t="str">
        <f>UPPER("aBc")&amp;LOWER("DeF")</f>
        <v>ABCdef</v>
      </c>
    </row>
    <row r="10" spans="1:12">
      <c r="E10" t="str">
        <f>SUBSTITUTE("a-b-c","-","+",2)</f>
        <v>a-b+c</v>
      </c>
    </row>
    <row r="11" spans="1:12">
      <c r="E11">
        <f>MROUND(17,5)</f>
        <v>15</v>
      </c>
    </row>
    <row r="12" spans="1:12">
      <c r="E12">
        <f>ROUND(2.675,2)</f>
        <v>2.68</v>
      </c>
    </row>
    <row r="13" spans="1:12">
      <c r="E13">
        <f>SUMPRODUCT(A1:A5,A1:A5)</f>
        <v>180</v>
      </c>
    </row>
    <row r="14" spans="1:12">
      <c r="E14">
        <f>MOD(-7,3)</f>
        <v>2</v>
      </c>
    </row>
    <row r="15" spans="1:12">
      <c r="E15">
        <f>_xlfn.CEILING.MATH(-5.5,2,1)</f>
        <v>-6</v>
      </c>
    </row>
    <row r="16" spans="1:12">
      <c r="E16" s="1">
        <f>DATE(2026,2,28)+1</f>
        <v>46082</v>
      </c>
    </row>
    <row r="17" spans="5:5">
      <c r="E17">
        <f>EOMONTH(DATE(2026,1,15),1)</f>
        <v>46081</v>
      </c>
    </row>
    <row r="18" spans="5:5">
      <c r="E18">
        <f>WEEKDAY(DATE(2026,7,2),2)</f>
        <v>4</v>
      </c>
    </row>
    <row r="19" spans="5:5">
      <c r="E19">
        <f>DATEDIF(DATE(2020,1,31),DATE(2026,3,1),"Y")</f>
        <v>6</v>
      </c>
    </row>
    <row r="20" spans="5:5">
      <c r="E20">
        <f>YEARFRAC(DATE(2020,1,1),DATE(2021,1,1),1)</f>
        <v>1</v>
      </c>
    </row>
    <row r="21" spans="5:5">
      <c r="E21">
        <f>INDEX(A1:A5,MATCH(8,A1:A5,0))</f>
        <v>8</v>
      </c>
    </row>
    <row r="22" spans="5:5">
      <c r="E22" t="str">
        <f>IFERROR(1/0,"caught")</f>
        <v>caught</v>
      </c>
    </row>
    <row r="23" spans="5:5">
      <c r="E23">
        <f>_xlfn.XMATCH(3,A1:A5)</f>
        <v>2</v>
      </c>
    </row>
    <row r="24" spans="5:5">
      <c r="E24" t="str">
        <f>CHOOSE(3,"x","y","z")</f>
        <v>z</v>
      </c>
    </row>
    <row r="25" spans="5:5">
      <c r="E25">
        <f>_xlfn.STDEV.P(A1:A5)</f>
        <v>2.9933259094191533</v>
      </c>
    </row>
    <row r="26" spans="5:5">
      <c r="E26">
        <f>_xlfn.PERCENTILE.INC(A1:A5,0.5)</f>
        <v>5</v>
      </c>
    </row>
    <row r="27" spans="5:5">
      <c r="E27" s="2">
        <f>PMT(0.05/12,60,-1000000)</f>
        <v>18871.233644010932</v>
      </c>
    </row>
    <row r="28" spans="5:5">
      <c r="E28" s="2">
        <f>FV(0.03,10,-1000)</f>
        <v>11463.879311470728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Corpus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2026-07-02T06:01:59Z</dcterms:created>
  <dcterms:modified xsi:type="dcterms:W3CDTF">2026-07-02T06:02:02Z</dcterms:modified>
</cp:coreProperties>
</file>